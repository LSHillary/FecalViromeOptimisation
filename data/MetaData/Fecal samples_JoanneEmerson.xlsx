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672714871752/WOPIServiceId_TP_BOX_2/WOPIUserId_-/"/>
    </mc:Choice>
  </mc:AlternateContent>
  <xr:revisionPtr revIDLastSave="4" documentId="8_{60D16AEE-C2D7-D143-A759-2C3163B40A9A}" xr6:coauthVersionLast="47" xr6:coauthVersionMax="47" xr10:uidLastSave="{682786E2-74C8-B64F-9FA4-8537160664B5}"/>
  <bookViews>
    <workbookView xWindow="160" yWindow="660" windowWidth="28480" windowHeight="17180" xr2:uid="{8A9733C9-C44F-634B-BA7F-03129C326F40}"/>
  </bookViews>
  <sheets>
    <sheet name="JoanneEmerson-vir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Q6" i="1"/>
  <c r="N6" i="1"/>
  <c r="R6" i="1" s="1"/>
  <c r="H6" i="1"/>
  <c r="Q5" i="1"/>
  <c r="N5" i="1"/>
  <c r="S5" i="1" s="1"/>
  <c r="H5" i="1"/>
  <c r="Q4" i="1"/>
  <c r="N4" i="1"/>
  <c r="H4" i="1"/>
  <c r="Q3" i="1"/>
  <c r="N3" i="1"/>
  <c r="S3" i="1" s="1"/>
  <c r="H3" i="1"/>
  <c r="R3" i="1" l="1"/>
  <c r="S6" i="1"/>
  <c r="R5" i="1"/>
  <c r="R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S Yoon</author>
    <author>Jordan Pitman</author>
  </authors>
  <commentList>
    <comment ref="A3" authorId="0" shapeId="0" xr:uid="{9986E42D-8E21-BF4A-9A0A-64078486739A}">
      <text>
        <r>
          <rPr>
            <b/>
            <sz val="9"/>
            <color rgb="FF000000"/>
            <rFont val="Tahoma"/>
            <family val="2"/>
          </rPr>
          <t>Paul S Yoon: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Dropped from study:  Could not provide 2 month labs</t>
        </r>
      </text>
    </comment>
    <comment ref="J3" authorId="0" shapeId="0" xr:uid="{62FC84C4-AE3F-B449-8949-AB74346959E5}">
      <text>
        <r>
          <rPr>
            <b/>
            <sz val="9"/>
            <color rgb="FF000000"/>
            <rFont val="Tahoma"/>
            <family val="2"/>
          </rPr>
          <t>Paul S Yoon: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6/25/2016</t>
        </r>
      </text>
    </comment>
    <comment ref="K3" authorId="0" shapeId="0" xr:uid="{98BBF3E3-81CD-2647-8421-0D196E159DAC}">
      <text>
        <r>
          <rPr>
            <b/>
            <sz val="9"/>
            <color rgb="FF000000"/>
            <rFont val="Tahoma"/>
            <family val="2"/>
          </rPr>
          <t>Paul S Yoon: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6/25/2016</t>
        </r>
      </text>
    </comment>
    <comment ref="L3" authorId="0" shapeId="0" xr:uid="{44B62AB1-AE3C-184D-8CB8-640DEE9A7E25}">
      <text>
        <r>
          <rPr>
            <b/>
            <sz val="9"/>
            <color rgb="FF000000"/>
            <rFont val="Tahoma"/>
            <family val="2"/>
          </rPr>
          <t>Paul S Yoon: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6/25/2016</t>
        </r>
      </text>
    </comment>
    <comment ref="O3" authorId="0" shapeId="0" xr:uid="{A1D75B6D-511F-C44F-B199-D942100C67EC}">
      <text>
        <r>
          <rPr>
            <b/>
            <sz val="9"/>
            <color rgb="FF000000"/>
            <rFont val="Tahoma"/>
            <family val="2"/>
          </rPr>
          <t>Paul S Yoon: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6/25/2016</t>
        </r>
      </text>
    </comment>
    <comment ref="AG3" authorId="0" shapeId="0" xr:uid="{FE07EF2E-4457-074B-8F10-2E4E4F6A4CDF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H3" authorId="0" shapeId="0" xr:uid="{31F7656E-BF47-9744-9AFD-FD57B9A05252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I3" authorId="0" shapeId="0" xr:uid="{10B14E92-F41D-CC4E-B208-047FD80B706E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N3" authorId="0" shapeId="0" xr:uid="{18F5A7B9-F4A5-7240-8295-6A1FD94E3010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Folate RBC Profile
6/25/2016</t>
        </r>
      </text>
    </comment>
    <comment ref="AO3" authorId="0" shapeId="0" xr:uid="{2F4D1AB2-6613-1F4F-8B90-280BB548B4ED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P3" authorId="0" shapeId="0" xr:uid="{39B18716-47F7-8A44-ACE7-EAD8661F27A7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Q3" authorId="0" shapeId="0" xr:uid="{91BA1DAF-E797-174A-85EB-B03A42470BD7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R3" authorId="0" shapeId="0" xr:uid="{A69962D3-D565-8947-BAC1-7F6E5391CF31}">
      <text>
        <r>
          <rPr>
            <b/>
            <sz val="9"/>
            <color indexed="81"/>
            <rFont val="Tahoma"/>
            <family val="2"/>
          </rPr>
          <t>Paul S Yoon:</t>
        </r>
        <r>
          <rPr>
            <sz val="9"/>
            <color indexed="81"/>
            <rFont val="Tahoma"/>
            <family val="2"/>
          </rPr>
          <t xml:space="preserve">
6/25/2016</t>
        </r>
      </text>
    </comment>
    <comment ref="A4" authorId="1" shapeId="0" xr:uid="{DDAD89AB-A11C-964A-A587-7EED719003F3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Could not provide 2mo</t>
        </r>
      </text>
    </comment>
    <comment ref="K4" authorId="1" shapeId="0" xr:uid="{5471F5B1-F151-F44F-B3DD-F55F214C9F9B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2/5/2019</t>
        </r>
      </text>
    </comment>
    <comment ref="L4" authorId="1" shapeId="0" xr:uid="{37ECC1CB-A2DA-1E41-8CE9-E3484339A268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O4" authorId="1" shapeId="0" xr:uid="{428BCEC6-3446-E94A-8B3E-2547B4D61E24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2/5/2019</t>
        </r>
      </text>
    </comment>
    <comment ref="AG4" authorId="1" shapeId="0" xr:uid="{F8F536EF-91F3-9049-9C47-1E194003E94F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H4" authorId="1" shapeId="0" xr:uid="{D049A155-3F07-4248-ABD7-95F750F97546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I4" authorId="1" shapeId="0" xr:uid="{35C18E90-C159-8742-A677-BCC789C9B34D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J4" authorId="1" shapeId="0" xr:uid="{A5A7E21B-E430-734C-9F53-1F4E5FB10068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K4" authorId="1" shapeId="0" xr:uid="{C0BD6CBD-B615-A744-A856-2E9B4DCAA43F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L4" authorId="1" shapeId="0" xr:uid="{C2D19F0F-6E43-304C-818E-6EA61DE7F5EE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M4" authorId="1" shapeId="0" xr:uid="{9760096D-2D9C-4944-BE68-CC0B29FEAB53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N4" authorId="1" shapeId="0" xr:uid="{251A1D1F-D91A-1E4C-897C-8B239915D9A8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O4" authorId="1" shapeId="0" xr:uid="{51D53134-E267-594A-86A9-6F896FF9E492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P4" authorId="1" shapeId="0" xr:uid="{B140CE81-C79E-104C-BBBB-9E2276765AD2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Q4" authorId="1" shapeId="0" xr:uid="{75D6E075-28C9-024F-A7D7-8DDB9B467DF8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R4" authorId="1" shapeId="0" xr:uid="{47003D19-4222-A845-AD60-ACB6845E493E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2/5/2019</t>
        </r>
      </text>
    </comment>
    <comment ref="A5" authorId="1" shapeId="0" xr:uid="{A1C14653-A4B3-A141-BCB2-06AB46D836BD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Could not provide 2mo</t>
        </r>
      </text>
    </comment>
    <comment ref="K5" authorId="1" shapeId="0" xr:uid="{8D32FB9F-1C5E-4A49-A45C-5E08F0AA3234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11/2/2018</t>
        </r>
      </text>
    </comment>
    <comment ref="L5" authorId="1" shapeId="0" xr:uid="{323267BA-258C-354F-9A97-9432B922566D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11/2/2018</t>
        </r>
      </text>
    </comment>
    <comment ref="O5" authorId="1" shapeId="0" xr:uid="{249C6A31-5623-3D4E-ACB6-D1223B0789A5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5/14/2019</t>
        </r>
      </text>
    </comment>
    <comment ref="AG5" authorId="1" shapeId="0" xr:uid="{5880650E-ACB7-EC43-A952-D803417278F2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5/14/2019</t>
        </r>
      </text>
    </comment>
    <comment ref="AH5" authorId="1" shapeId="0" xr:uid="{A32DE0BB-62B9-2D48-A279-0E7B17291F50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5/14/2019</t>
        </r>
      </text>
    </comment>
    <comment ref="AI5" authorId="1" shapeId="0" xr:uid="{B97EF346-DD6F-774B-89A5-669D19D036DB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5/14/2019</t>
        </r>
      </text>
    </comment>
    <comment ref="AJ5" authorId="1" shapeId="0" xr:uid="{DE677150-4B1D-F547-8643-C749C64C1DF5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K5" authorId="1" shapeId="0" xr:uid="{06631EDA-76A2-C341-B10A-59206CEC57F2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L5" authorId="1" shapeId="0" xr:uid="{F923FA29-DF59-7240-8293-4752364A831B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M5" authorId="1" shapeId="0" xr:uid="{41F6ABA2-28B3-E044-B476-2FD563A52DE1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N5" authorId="1" shapeId="0" xr:uid="{70A09778-0AF5-FD43-8954-CE340E5DEC99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O5" authorId="1" shapeId="0" xr:uid="{47972DB0-2160-AA40-8BF7-365F4118D822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P5" authorId="1" shapeId="0" xr:uid="{068F6EE2-5FA2-AE4E-9F38-43D969B0EE9E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Q5" authorId="1" shapeId="0" xr:uid="{84895E1B-6201-2D40-805F-D9C8367087B5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5/14/2019</t>
        </r>
      </text>
    </comment>
    <comment ref="AR5" authorId="1" shapeId="0" xr:uid="{C2792893-283B-FB42-ADEE-B048A680CDE1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11/2/2018</t>
        </r>
      </text>
    </comment>
    <comment ref="A6" authorId="1" shapeId="0" xr:uid="{36046529-4F6D-424C-9DC5-8098AEB42AA1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Could not provide 2mo</t>
        </r>
      </text>
    </comment>
    <comment ref="K6" authorId="1" shapeId="0" xr:uid="{1D7A15D4-2ED0-C145-AC47-46EB0B81D8DA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2/18/2022</t>
        </r>
      </text>
    </comment>
    <comment ref="L6" authorId="1" shapeId="0" xr:uid="{F0AA8BE2-D1CF-184D-92D0-5A4014C9BE7F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2/18/2022</t>
        </r>
      </text>
    </comment>
    <comment ref="O6" authorId="1" shapeId="0" xr:uid="{A109A79F-F4EE-5B41-B494-D0B7F13383FC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2/18/2022</t>
        </r>
      </text>
    </comment>
    <comment ref="AG6" authorId="1" shapeId="0" xr:uid="{DD54B826-C1A9-1140-828C-1C908D8D0533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2/18/2022</t>
        </r>
      </text>
    </comment>
    <comment ref="AH6" authorId="1" shapeId="0" xr:uid="{B3BA781C-20D1-CD4D-993A-D5AA5C8A75BB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2/18/2022</t>
        </r>
      </text>
    </comment>
    <comment ref="AI6" authorId="1" shapeId="0" xr:uid="{A62E6763-C416-B84E-AC86-F2F4D2809C34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2/18/2022</t>
        </r>
      </text>
    </comment>
    <comment ref="AJ6" authorId="1" shapeId="0" xr:uid="{9A249EE4-49FC-DB48-8409-31D2B373BFA5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2/18/2022</t>
        </r>
      </text>
    </comment>
    <comment ref="AK6" authorId="1" shapeId="0" xr:uid="{88FCE5C9-65BE-6A42-9E87-1F76C76E68DF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2/18/2022</t>
        </r>
      </text>
    </comment>
    <comment ref="AL6" authorId="1" shapeId="0" xr:uid="{56E69CDD-8FEB-3743-B71A-67FCBD627E55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2/18/2022</t>
        </r>
      </text>
    </comment>
    <comment ref="AM6" authorId="1" shapeId="0" xr:uid="{C06186C1-16C8-D24E-9652-72A423A9E87C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2/4/2022</t>
        </r>
      </text>
    </comment>
    <comment ref="AN6" authorId="1" shapeId="0" xr:uid="{6C0FF55F-77CE-C942-ACFE-531F8EC70814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2/18/2022</t>
        </r>
      </text>
    </comment>
    <comment ref="AO6" authorId="1" shapeId="0" xr:uid="{98B5A3CA-C319-4340-B9D5-FDA52BF0E615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2/18/2022</t>
        </r>
      </text>
    </comment>
    <comment ref="AP6" authorId="1" shapeId="0" xr:uid="{F9EEFAA8-4FA7-C04E-9007-9FD746171394}">
      <text>
        <r>
          <rPr>
            <b/>
            <sz val="9"/>
            <color rgb="FF000000"/>
            <rFont val="Tahoma"/>
            <family val="2"/>
          </rPr>
          <t>Jordan Pitman: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5/7/2021</t>
        </r>
      </text>
    </comment>
    <comment ref="AQ6" authorId="1" shapeId="0" xr:uid="{D05C0E41-94C8-544F-83CA-C4F3F4F0D247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2/4/2022</t>
        </r>
      </text>
    </comment>
    <comment ref="AR6" authorId="1" shapeId="0" xr:uid="{F499DF13-B971-9445-8DA9-D160642B686B}">
      <text>
        <r>
          <rPr>
            <b/>
            <sz val="9"/>
            <color indexed="81"/>
            <rFont val="Tahoma"/>
            <family val="2"/>
          </rPr>
          <t>Jordan Pitman:</t>
        </r>
        <r>
          <rPr>
            <sz val="9"/>
            <color indexed="81"/>
            <rFont val="Tahoma"/>
            <family val="2"/>
          </rPr>
          <t xml:space="preserve">
2/18/2022</t>
        </r>
      </text>
    </comment>
  </commentList>
</comments>
</file>

<file path=xl/sharedStrings.xml><?xml version="1.0" encoding="utf-8"?>
<sst xmlns="http://schemas.openxmlformats.org/spreadsheetml/2006/main" count="71" uniqueCount="68">
  <si>
    <t>Demographics</t>
  </si>
  <si>
    <t>Date</t>
  </si>
  <si>
    <t>Anthropomorphic</t>
  </si>
  <si>
    <t>Glucose Dysregulation</t>
  </si>
  <si>
    <t>Dyslipidemia</t>
  </si>
  <si>
    <t>Study</t>
  </si>
  <si>
    <t>Summed</t>
  </si>
  <si>
    <t>Basic Serum Chemistry</t>
  </si>
  <si>
    <t>Liver Function</t>
  </si>
  <si>
    <t>Serum Lipids</t>
  </si>
  <si>
    <t>Micronutrients</t>
  </si>
  <si>
    <t>Endocrine</t>
  </si>
  <si>
    <t>Hematology</t>
  </si>
  <si>
    <t>Study ID</t>
  </si>
  <si>
    <t>Gender</t>
  </si>
  <si>
    <t>Age</t>
  </si>
  <si>
    <t>Exam</t>
  </si>
  <si>
    <t>Lab</t>
  </si>
  <si>
    <t>Height</t>
  </si>
  <si>
    <t>Weight</t>
  </si>
  <si>
    <t>BMI</t>
  </si>
  <si>
    <t>FPG</t>
  </si>
  <si>
    <t>HA1c</t>
  </si>
  <si>
    <t>Tot Ins</t>
  </si>
  <si>
    <t>Free Ins</t>
  </si>
  <si>
    <t>DM Meds</t>
  </si>
  <si>
    <t>DM Score</t>
  </si>
  <si>
    <t>LDL</t>
  </si>
  <si>
    <t>DYS Meds</t>
  </si>
  <si>
    <t>DYS Score</t>
  </si>
  <si>
    <t xml:space="preserve"> Group</t>
  </si>
  <si>
    <t>Score</t>
  </si>
  <si>
    <t>Na</t>
  </si>
  <si>
    <t>K</t>
  </si>
  <si>
    <t>Cl</t>
  </si>
  <si>
    <t>HCO3</t>
  </si>
  <si>
    <t>BUN</t>
  </si>
  <si>
    <t>Creat</t>
  </si>
  <si>
    <t>Ca</t>
  </si>
  <si>
    <t>Prot</t>
  </si>
  <si>
    <t>Alb</t>
  </si>
  <si>
    <t>ALP</t>
  </si>
  <si>
    <t>AST</t>
  </si>
  <si>
    <t>ALT</t>
  </si>
  <si>
    <t>Tbil</t>
  </si>
  <si>
    <t>Tot Chol</t>
  </si>
  <si>
    <t>HDL</t>
  </si>
  <si>
    <t>TG</t>
  </si>
  <si>
    <t>B1</t>
  </si>
  <si>
    <t>B12</t>
  </si>
  <si>
    <t>Vit C</t>
  </si>
  <si>
    <t>Vit D</t>
  </si>
  <si>
    <t>Folate</t>
  </si>
  <si>
    <t>Zinc</t>
  </si>
  <si>
    <t>PTH</t>
  </si>
  <si>
    <t>TSH</t>
  </si>
  <si>
    <t>CRP</t>
  </si>
  <si>
    <t>WBC</t>
  </si>
  <si>
    <t>Hgb</t>
  </si>
  <si>
    <t>HCT</t>
  </si>
  <si>
    <t>PLT</t>
  </si>
  <si>
    <t>2016-013</t>
  </si>
  <si>
    <t>F</t>
  </si>
  <si>
    <t>2016-043</t>
  </si>
  <si>
    <t>2016-044</t>
  </si>
  <si>
    <t>&lt;5</t>
  </si>
  <si>
    <t>2016-051</t>
  </si>
  <si>
    <t xml:space="preserve">No 2mo sample- provided to Joanne Emerson for virome methods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</si>
</sst>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7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14" fontId="1" fillId="0" borderId="0" xfId="0" applyNumberFormat="1" applyFont="1"/>
    <xf numFmtId="2" fontId="0" fillId="0" borderId="0" xfId="0" applyNumberFormat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/>
    <xf numFmtId="2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9B48-970C-FE41-83AD-E6ABDE8D7A4E}">
  <dimension ref="A1:AV8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4" max="5" width="9.6640625" bestFit="1" customWidth="1"/>
  </cols>
  <sheetData>
    <row r="1" spans="1:48" ht="16" thickBot="1" x14ac:dyDescent="0.25">
      <c r="A1" s="49" t="s">
        <v>0</v>
      </c>
      <c r="B1" s="47"/>
      <c r="C1" s="48"/>
      <c r="D1" s="49" t="s">
        <v>1</v>
      </c>
      <c r="E1" s="48"/>
      <c r="F1" s="49" t="s">
        <v>2</v>
      </c>
      <c r="G1" s="47"/>
      <c r="H1" s="48"/>
      <c r="I1" s="50" t="s">
        <v>3</v>
      </c>
      <c r="J1" s="51"/>
      <c r="K1" s="51"/>
      <c r="L1" s="51"/>
      <c r="M1" s="51"/>
      <c r="N1" s="52"/>
      <c r="O1" s="50" t="s">
        <v>4</v>
      </c>
      <c r="P1" s="51"/>
      <c r="Q1" s="51"/>
      <c r="R1" s="1" t="s">
        <v>5</v>
      </c>
      <c r="S1" s="2" t="s">
        <v>6</v>
      </c>
      <c r="T1" s="47" t="s">
        <v>7</v>
      </c>
      <c r="U1" s="47"/>
      <c r="V1" s="47"/>
      <c r="W1" s="47"/>
      <c r="X1" s="47"/>
      <c r="Y1" s="47"/>
      <c r="Z1" s="48"/>
      <c r="AA1" s="49" t="s">
        <v>8</v>
      </c>
      <c r="AB1" s="47"/>
      <c r="AC1" s="47"/>
      <c r="AD1" s="47"/>
      <c r="AE1" s="47"/>
      <c r="AF1" s="48"/>
      <c r="AG1" s="49" t="s">
        <v>9</v>
      </c>
      <c r="AH1" s="47"/>
      <c r="AI1" s="48"/>
      <c r="AJ1" s="49" t="s">
        <v>10</v>
      </c>
      <c r="AK1" s="47"/>
      <c r="AL1" s="47"/>
      <c r="AM1" s="47"/>
      <c r="AN1" s="47"/>
      <c r="AO1" s="48"/>
      <c r="AP1" s="49" t="s">
        <v>11</v>
      </c>
      <c r="AQ1" s="47"/>
      <c r="AR1" s="48"/>
      <c r="AS1" s="49" t="s">
        <v>12</v>
      </c>
      <c r="AT1" s="47"/>
      <c r="AU1" s="47"/>
      <c r="AV1" s="48"/>
    </row>
    <row r="2" spans="1:48" ht="16" thickTop="1" x14ac:dyDescent="0.2">
      <c r="A2" s="3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3" t="s">
        <v>18</v>
      </c>
      <c r="G2" s="4" t="s">
        <v>19</v>
      </c>
      <c r="H2" s="5" t="s">
        <v>20</v>
      </c>
      <c r="I2" s="7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9" t="s">
        <v>26</v>
      </c>
      <c r="O2" s="7" t="s">
        <v>27</v>
      </c>
      <c r="P2" s="8" t="s">
        <v>28</v>
      </c>
      <c r="Q2" s="8" t="s">
        <v>29</v>
      </c>
      <c r="R2" s="7" t="s">
        <v>30</v>
      </c>
      <c r="S2" s="9" t="s">
        <v>31</v>
      </c>
      <c r="T2" s="8" t="s">
        <v>32</v>
      </c>
      <c r="U2" s="8" t="s">
        <v>33</v>
      </c>
      <c r="V2" s="8" t="s">
        <v>34</v>
      </c>
      <c r="W2" s="8" t="s">
        <v>35</v>
      </c>
      <c r="X2" s="8" t="s">
        <v>36</v>
      </c>
      <c r="Y2" s="8" t="s">
        <v>37</v>
      </c>
      <c r="Z2" s="9" t="s">
        <v>38</v>
      </c>
      <c r="AA2" s="7" t="s">
        <v>39</v>
      </c>
      <c r="AB2" s="8" t="s">
        <v>40</v>
      </c>
      <c r="AC2" s="8" t="s">
        <v>41</v>
      </c>
      <c r="AD2" s="8" t="s">
        <v>42</v>
      </c>
      <c r="AE2" s="8" t="s">
        <v>43</v>
      </c>
      <c r="AF2" s="9" t="s">
        <v>44</v>
      </c>
      <c r="AG2" s="7" t="s">
        <v>45</v>
      </c>
      <c r="AH2" s="8" t="s">
        <v>46</v>
      </c>
      <c r="AI2" s="9" t="s">
        <v>47</v>
      </c>
      <c r="AJ2" s="10" t="s">
        <v>48</v>
      </c>
      <c r="AK2" s="11" t="s">
        <v>49</v>
      </c>
      <c r="AL2" s="11" t="s">
        <v>50</v>
      </c>
      <c r="AM2" s="11" t="s">
        <v>51</v>
      </c>
      <c r="AN2" s="11" t="s">
        <v>52</v>
      </c>
      <c r="AO2" s="12" t="s">
        <v>53</v>
      </c>
      <c r="AP2" s="10" t="s">
        <v>54</v>
      </c>
      <c r="AQ2" s="11" t="s">
        <v>55</v>
      </c>
      <c r="AR2" s="12" t="s">
        <v>56</v>
      </c>
      <c r="AS2" s="10" t="s">
        <v>57</v>
      </c>
      <c r="AT2" s="11" t="s">
        <v>58</v>
      </c>
      <c r="AU2" s="11" t="s">
        <v>59</v>
      </c>
      <c r="AV2" s="12" t="s">
        <v>60</v>
      </c>
    </row>
    <row r="3" spans="1:48" s="14" customFormat="1" x14ac:dyDescent="0.2">
      <c r="A3" s="13" t="s">
        <v>61</v>
      </c>
      <c r="B3" s="14" t="s">
        <v>62</v>
      </c>
      <c r="C3" s="15">
        <v>34</v>
      </c>
      <c r="D3" s="16">
        <v>42571</v>
      </c>
      <c r="E3" s="16">
        <v>42571</v>
      </c>
      <c r="F3" s="17">
        <v>1.7270000000000001</v>
      </c>
      <c r="G3" s="18">
        <v>140.161</v>
      </c>
      <c r="H3" s="19">
        <f t="shared" ref="H3:H5" si="0">G3/(F3^2)</f>
        <v>46.994010787489401</v>
      </c>
      <c r="I3" s="20">
        <v>262</v>
      </c>
      <c r="J3" s="21">
        <v>8.5</v>
      </c>
      <c r="K3" s="21">
        <v>50</v>
      </c>
      <c r="L3" s="21">
        <v>40</v>
      </c>
      <c r="M3" s="21">
        <v>0</v>
      </c>
      <c r="N3" s="15">
        <f t="shared" ref="N3:N5" si="1">IF(AND(J3&gt;=8.5,M3=0),6,(IF(AND(J3&gt;=7,M3&lt;&gt;0),5,IF(AND(J3&lt;7,M3=2),4,(IF(AND(J3&lt;7,M3=1),3,(IF(AND(OR(I3&gt;=126,(AND(J3&gt;=6.5,J3&lt;=8.4))),M3=0),2,(IF(AND(OR(AND(I3&gt;=100,I3&lt;=125),AND(J3&gt;=5.7,J3&lt;=6.4)),M3=0),1,0))))))))))</f>
        <v>6</v>
      </c>
      <c r="O3" s="20">
        <v>66</v>
      </c>
      <c r="P3" s="21">
        <v>0</v>
      </c>
      <c r="Q3" s="21">
        <f t="shared" ref="Q3:Q5" si="2">IF(AND(O3&gt;=190,P3=0),6,IF(AND(O3&gt;=130,P3&lt;&gt;0),5,IF(AND(O3&lt;130,P3=2),4,IF(AND(O3&lt;130,P3=1),3,IF(AND(O3&gt;=160,O3&lt;190,P3=0),2,(IF(AND(O3&gt;=130,O3&lt;160,P3=0),1,0)))))))</f>
        <v>0</v>
      </c>
      <c r="R3" s="14" t="str">
        <f t="shared" ref="R3:R6" si="3">IF((AND(OR(N3=0,N3=1),OR(Q3=0,Q3=1))),"H",IF(AND(N3+Q3&gt;=4),"MS","NA"))</f>
        <v>MS</v>
      </c>
      <c r="S3" s="22">
        <f t="shared" ref="S3:S5" si="4">SUM(N3,Q3)</f>
        <v>6</v>
      </c>
      <c r="T3" s="14">
        <v>134</v>
      </c>
      <c r="U3" s="21">
        <v>4.3</v>
      </c>
      <c r="V3" s="21">
        <v>101</v>
      </c>
      <c r="W3" s="21">
        <v>19</v>
      </c>
      <c r="X3" s="21">
        <v>9</v>
      </c>
      <c r="Y3" s="21">
        <v>0.68</v>
      </c>
      <c r="Z3" s="15">
        <v>9.1</v>
      </c>
      <c r="AA3" s="20">
        <v>7.6</v>
      </c>
      <c r="AB3" s="21">
        <v>4</v>
      </c>
      <c r="AC3" s="21">
        <v>109</v>
      </c>
      <c r="AD3" s="21">
        <v>29</v>
      </c>
      <c r="AE3" s="21">
        <v>50</v>
      </c>
      <c r="AF3" s="15">
        <v>0.5</v>
      </c>
      <c r="AG3" s="20">
        <v>151</v>
      </c>
      <c r="AH3" s="21">
        <v>37</v>
      </c>
      <c r="AI3" s="15">
        <v>241</v>
      </c>
      <c r="AJ3" s="20">
        <v>134</v>
      </c>
      <c r="AK3" s="21">
        <v>560</v>
      </c>
      <c r="AL3" s="21">
        <v>40</v>
      </c>
      <c r="AM3" s="21">
        <v>15.1</v>
      </c>
      <c r="AN3" s="21">
        <v>686</v>
      </c>
      <c r="AO3" s="15">
        <v>95</v>
      </c>
      <c r="AP3" s="20">
        <v>41</v>
      </c>
      <c r="AQ3" s="21">
        <v>1.58</v>
      </c>
      <c r="AR3" s="15">
        <v>1.3</v>
      </c>
      <c r="AS3" s="20">
        <v>7.8</v>
      </c>
      <c r="AT3" s="21">
        <v>14.5</v>
      </c>
      <c r="AU3" s="21">
        <v>42.7</v>
      </c>
      <c r="AV3" s="15">
        <v>267</v>
      </c>
    </row>
    <row r="4" spans="1:48" s="14" customFormat="1" x14ac:dyDescent="0.2">
      <c r="A4" s="23" t="s">
        <v>63</v>
      </c>
      <c r="B4" s="14" t="s">
        <v>62</v>
      </c>
      <c r="C4" s="21">
        <v>39</v>
      </c>
      <c r="D4" s="24">
        <v>43572</v>
      </c>
      <c r="E4" s="24">
        <v>43572</v>
      </c>
      <c r="F4" s="25">
        <v>1.524</v>
      </c>
      <c r="G4" s="18">
        <v>114</v>
      </c>
      <c r="H4" s="19">
        <f t="shared" si="0"/>
        <v>49.083431500196326</v>
      </c>
      <c r="I4" s="21">
        <v>89</v>
      </c>
      <c r="J4" s="21">
        <v>5.6</v>
      </c>
      <c r="K4" s="21">
        <v>73</v>
      </c>
      <c r="L4" s="21">
        <v>55</v>
      </c>
      <c r="M4" s="21">
        <v>1</v>
      </c>
      <c r="N4" s="15">
        <f t="shared" si="1"/>
        <v>3</v>
      </c>
      <c r="O4" s="21">
        <v>104</v>
      </c>
      <c r="P4" s="21">
        <v>0</v>
      </c>
      <c r="Q4" s="21">
        <f t="shared" si="2"/>
        <v>0</v>
      </c>
      <c r="R4" s="14" t="str">
        <f t="shared" si="3"/>
        <v>NA</v>
      </c>
      <c r="S4" s="22">
        <f t="shared" si="4"/>
        <v>3</v>
      </c>
      <c r="T4" s="14">
        <v>136</v>
      </c>
      <c r="U4" s="21">
        <v>4</v>
      </c>
      <c r="V4" s="21">
        <v>100</v>
      </c>
      <c r="W4" s="21">
        <v>23</v>
      </c>
      <c r="X4" s="21">
        <v>6</v>
      </c>
      <c r="Y4" s="21">
        <v>0.5</v>
      </c>
      <c r="Z4" s="21">
        <v>8.6</v>
      </c>
      <c r="AA4" s="21">
        <v>7.8</v>
      </c>
      <c r="AB4" s="21">
        <v>3.6</v>
      </c>
      <c r="AC4" s="21">
        <v>77</v>
      </c>
      <c r="AD4" s="21">
        <v>118</v>
      </c>
      <c r="AE4" s="21">
        <v>92</v>
      </c>
      <c r="AF4" s="21">
        <v>1.5</v>
      </c>
      <c r="AG4" s="21">
        <v>5.2</v>
      </c>
      <c r="AH4" s="21">
        <v>31</v>
      </c>
      <c r="AI4" s="21">
        <v>129</v>
      </c>
      <c r="AJ4" s="21">
        <v>92</v>
      </c>
      <c r="AK4" s="21">
        <v>418</v>
      </c>
      <c r="AL4" s="21">
        <v>6</v>
      </c>
      <c r="AM4" s="21">
        <v>23.4</v>
      </c>
      <c r="AN4" s="21">
        <v>408.8</v>
      </c>
      <c r="AO4" s="21">
        <v>49</v>
      </c>
      <c r="AP4" s="21">
        <v>35</v>
      </c>
      <c r="AQ4" s="21">
        <v>2.35</v>
      </c>
      <c r="AR4" s="21">
        <v>0.6</v>
      </c>
      <c r="AS4" s="21">
        <v>5.0999999999999996</v>
      </c>
      <c r="AT4" s="21">
        <v>14.8</v>
      </c>
      <c r="AU4" s="21">
        <v>42.6</v>
      </c>
      <c r="AV4" s="21">
        <v>67</v>
      </c>
    </row>
    <row r="5" spans="1:48" s="39" customFormat="1" x14ac:dyDescent="0.2">
      <c r="A5" s="38" t="s">
        <v>64</v>
      </c>
      <c r="B5" s="39" t="s">
        <v>62</v>
      </c>
      <c r="C5" s="40">
        <v>55</v>
      </c>
      <c r="D5" s="41">
        <v>43621</v>
      </c>
      <c r="E5" s="41">
        <v>43621</v>
      </c>
      <c r="F5" s="42">
        <v>1.651</v>
      </c>
      <c r="G5" s="43">
        <v>116</v>
      </c>
      <c r="H5" s="44">
        <f t="shared" si="0"/>
        <v>42.556298130347734</v>
      </c>
      <c r="I5" s="40">
        <v>130</v>
      </c>
      <c r="J5" s="40">
        <v>5.3</v>
      </c>
      <c r="K5" s="40">
        <v>19</v>
      </c>
      <c r="L5" s="40">
        <v>18</v>
      </c>
      <c r="M5" s="40">
        <v>2</v>
      </c>
      <c r="N5" s="45">
        <f t="shared" si="1"/>
        <v>4</v>
      </c>
      <c r="O5" s="40">
        <v>87</v>
      </c>
      <c r="P5" s="40">
        <v>1</v>
      </c>
      <c r="Q5" s="40">
        <f t="shared" si="2"/>
        <v>3</v>
      </c>
      <c r="R5" s="39" t="str">
        <f t="shared" si="3"/>
        <v>MS</v>
      </c>
      <c r="S5" s="46">
        <f t="shared" si="4"/>
        <v>7</v>
      </c>
      <c r="T5" s="39">
        <v>134</v>
      </c>
      <c r="U5" s="40">
        <v>4.5</v>
      </c>
      <c r="V5" s="40">
        <v>98</v>
      </c>
      <c r="W5" s="40">
        <v>21</v>
      </c>
      <c r="X5" s="40">
        <v>34</v>
      </c>
      <c r="Y5" s="40">
        <v>1.2</v>
      </c>
      <c r="Z5" s="40">
        <v>9.8000000000000007</v>
      </c>
      <c r="AA5" s="40">
        <v>7.3</v>
      </c>
      <c r="AB5" s="40">
        <v>4.5999999999999996</v>
      </c>
      <c r="AC5" s="40">
        <v>83</v>
      </c>
      <c r="AD5" s="40">
        <v>27</v>
      </c>
      <c r="AE5" s="40">
        <v>28</v>
      </c>
      <c r="AF5" s="40">
        <v>0.9</v>
      </c>
      <c r="AG5" s="40">
        <v>165</v>
      </c>
      <c r="AH5" s="40">
        <v>32</v>
      </c>
      <c r="AI5" s="40">
        <v>232</v>
      </c>
      <c r="AJ5" s="40">
        <v>89</v>
      </c>
      <c r="AK5" s="40">
        <v>264</v>
      </c>
      <c r="AL5" s="40" t="s">
        <v>65</v>
      </c>
      <c r="AM5" s="40">
        <v>13.7</v>
      </c>
      <c r="AN5" s="40">
        <v>383.4</v>
      </c>
      <c r="AO5" s="40">
        <v>58</v>
      </c>
      <c r="AP5" s="40">
        <v>63</v>
      </c>
      <c r="AQ5" s="40">
        <v>0.8</v>
      </c>
      <c r="AR5" s="40">
        <v>0.8</v>
      </c>
      <c r="AS5" s="40">
        <v>9.6999999999999993</v>
      </c>
      <c r="AT5" s="40">
        <v>14.7</v>
      </c>
      <c r="AU5" s="40">
        <v>44.3</v>
      </c>
      <c r="AV5" s="40">
        <v>186</v>
      </c>
    </row>
    <row r="6" spans="1:48" s="14" customFormat="1" x14ac:dyDescent="0.2">
      <c r="A6" s="26" t="s">
        <v>66</v>
      </c>
      <c r="B6" s="14" t="s">
        <v>62</v>
      </c>
      <c r="C6" s="27">
        <v>52</v>
      </c>
      <c r="D6" s="28">
        <v>44811</v>
      </c>
      <c r="E6" s="28">
        <v>44811</v>
      </c>
      <c r="F6" s="29">
        <v>1.867</v>
      </c>
      <c r="G6" s="30">
        <v>176</v>
      </c>
      <c r="H6" s="31">
        <f>G6/(F6^2)</f>
        <v>50.492169553852911</v>
      </c>
      <c r="I6" s="32">
        <v>131</v>
      </c>
      <c r="J6" s="32">
        <v>7.3</v>
      </c>
      <c r="K6" s="32">
        <v>18</v>
      </c>
      <c r="L6" s="32">
        <v>13</v>
      </c>
      <c r="M6" s="32">
        <v>2</v>
      </c>
      <c r="N6" s="33">
        <f>IF(AND(J6&gt;=8.5,M6=0),6,(IF(AND(J6&gt;=7,M6&lt;&gt;0),5,IF(AND(J6&lt;7,M6=2),4,(IF(AND(J6&lt;7,M6=1),3,(IF(AND(OR(I6&gt;=126,(AND(J6&gt;=6.5,J6&lt;=8.4))),M6=0),2,(IF(AND(OR(AND(I6&gt;=100,I6&lt;=125),AND(J6&gt;=5.7,J6&lt;=6.4)),M6=0),1,0))))))))))</f>
        <v>5</v>
      </c>
      <c r="O6" s="32">
        <v>99</v>
      </c>
      <c r="P6" s="32">
        <v>1</v>
      </c>
      <c r="Q6" s="32">
        <f>IF(AND(O6&gt;=190,P6=0),6,IF(AND(O6&gt;=130,P6&lt;&gt;0),5,IF(AND(O6&lt;130,P6=2),4,IF(AND(O6&lt;130,P6=1),3,IF(AND(O6&gt;=160,O6&lt;190,P6=0),2,(IF(AND(O6&gt;=130,O6&lt;160,P6=0),1,0)))))))</f>
        <v>3</v>
      </c>
      <c r="R6" s="34" t="str">
        <f t="shared" si="3"/>
        <v>MS</v>
      </c>
      <c r="S6" s="22">
        <f>SUM(N6,Q6)</f>
        <v>8</v>
      </c>
      <c r="T6" s="35">
        <v>140</v>
      </c>
      <c r="U6" s="32">
        <v>4.0999999999999996</v>
      </c>
      <c r="V6" s="32">
        <v>101</v>
      </c>
      <c r="W6" s="32">
        <v>27</v>
      </c>
      <c r="X6" s="32">
        <v>16</v>
      </c>
      <c r="Y6" s="32">
        <v>1.1299999999999999</v>
      </c>
      <c r="Z6" s="32">
        <v>10.1</v>
      </c>
      <c r="AA6" s="32">
        <v>8</v>
      </c>
      <c r="AB6" s="32">
        <v>4.7</v>
      </c>
      <c r="AC6" s="32">
        <v>83</v>
      </c>
      <c r="AD6" s="32">
        <v>20</v>
      </c>
      <c r="AE6" s="32">
        <v>21</v>
      </c>
      <c r="AF6" s="31">
        <v>0.3</v>
      </c>
      <c r="AG6" s="32">
        <v>194</v>
      </c>
      <c r="AH6" s="32">
        <v>62</v>
      </c>
      <c r="AI6" s="32">
        <v>165</v>
      </c>
      <c r="AJ6" s="32">
        <v>131</v>
      </c>
      <c r="AK6" s="32">
        <v>420</v>
      </c>
      <c r="AL6" s="32">
        <v>44</v>
      </c>
      <c r="AM6" s="32">
        <v>14.8</v>
      </c>
      <c r="AN6" s="32">
        <v>679.3</v>
      </c>
      <c r="AO6" s="32">
        <v>92</v>
      </c>
      <c r="AP6" s="32">
        <v>74</v>
      </c>
      <c r="AQ6" s="32">
        <v>1.1399999999999999</v>
      </c>
      <c r="AR6" s="32">
        <v>0.8</v>
      </c>
      <c r="AS6" s="32">
        <v>9.5</v>
      </c>
      <c r="AT6" s="32">
        <v>15.7</v>
      </c>
      <c r="AU6" s="32">
        <v>46.4</v>
      </c>
      <c r="AV6" s="32">
        <v>320</v>
      </c>
    </row>
    <row r="8" spans="1:48" x14ac:dyDescent="0.2">
      <c r="A8" s="36"/>
      <c r="B8" s="37" t="s">
        <v>67</v>
      </c>
    </row>
  </sheetData>
  <mergeCells count="11">
    <mergeCell ref="AA1:AF1"/>
    <mergeCell ref="AG1:AI1"/>
    <mergeCell ref="AJ1:AO1"/>
    <mergeCell ref="AP1:AR1"/>
    <mergeCell ref="AS1:AV1"/>
    <mergeCell ref="T1:Z1"/>
    <mergeCell ref="A1:C1"/>
    <mergeCell ref="D1:E1"/>
    <mergeCell ref="F1:H1"/>
    <mergeCell ref="I1:N1"/>
    <mergeCell ref="O1:Q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JoanneEmerson-virome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Trina Annyce Knotts</dc:creator>
  <cp:lastModifiedBy>Luke Hillary</cp:lastModifiedBy>
  <dcterms:created xsi:type="dcterms:W3CDTF">2024-01-08T19:33:06Z</dcterms:created>
  <dcterms:modified xsi:type="dcterms:W3CDTF">2024-11-20T23:23:32Z</dcterms:modified>
</cp:coreProperties>
</file>